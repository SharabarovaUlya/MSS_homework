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arik\Desktop\homework1\"/>
    </mc:Choice>
  </mc:AlternateContent>
  <xr:revisionPtr revIDLastSave="0" documentId="13_ncr:1_{26C360E7-8ABE-48B4-9EF1-6D94B3CA7F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AJ13" i="1"/>
  <c r="F13" i="1"/>
  <c r="C4" i="1"/>
  <c r="C5" i="1" s="1"/>
  <c r="G12" i="1" l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<sst xmlns="http://schemas.openxmlformats.org/spreadsheetml/2006/main" count="12" uniqueCount="11">
  <si>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</si>
  <si>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</si>
  <si>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dy</t>
  </si>
  <si>
    <t>t</t>
  </si>
  <si>
    <t>Cp</t>
  </si>
  <si>
    <t>ro</t>
  </si>
  <si>
    <t>lamda</t>
  </si>
  <si>
    <t>T</t>
  </si>
  <si>
    <t>T_start</t>
  </si>
  <si>
    <t>T-end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</si>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</sst>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49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150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26-48E5-9BDB-21B90CE27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324031"/>
        <c:axId val="606324447"/>
      </c:scatterChart>
      <c:valAx>
        <c:axId val="606324031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324447"/>
        <c:crosses val="autoZero"/>
        <c:crossBetween val="midCat"/>
      </c:valAx>
      <c:valAx>
        <c:axId val="60632444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6324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19</xdr:row>
      <xdr:rowOff>52386</xdr:rowOff>
    </xdr:from>
    <xdr:to>
      <xdr:col>13</xdr:col>
      <xdr:colOff>171450</xdr:colOff>
      <xdr:row>41</xdr:row>
      <xdr:rowOff>133349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AC7DAD5F-938B-476A-A096-93B4744925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42862</xdr:colOff>
      <xdr:row>19</xdr:row>
      <xdr:rowOff>100012</xdr:rowOff>
    </xdr:from>
    <xdr:ext cx="346762" cy="219163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80A38AD-C595-4A88-A190-15A77F6E20EA}"/>
            </a:ext>
          </a:extLst>
        </xdr:cNvPr>
        <xdr:cNvSpPr txBox="1"/>
      </xdr:nvSpPr>
      <xdr:spPr>
        <a:xfrm>
          <a:off x="3119437" y="3719512"/>
          <a:ext cx="346762" cy="21916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US" sz="1400" b="1"/>
            <a:t>T,[C]</a:t>
          </a:r>
          <a:endParaRPr lang="ru-RU" sz="1400" b="1"/>
        </a:p>
      </xdr:txBody>
    </xdr:sp>
    <xdr:clientData/>
  </xdr:oneCellAnchor>
  <xdr:oneCellAnchor>
    <xdr:from>
      <xdr:col>12</xdr:col>
      <xdr:colOff>100012</xdr:colOff>
      <xdr:row>40</xdr:row>
      <xdr:rowOff>52387</xdr:rowOff>
    </xdr:from>
    <xdr:ext cx="48571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3B6D3AC-027F-4DA8-BD83-8095B35BD801}"/>
                </a:ext>
              </a:extLst>
            </xdr:cNvPr>
            <xdr:cNvSpPr txBox="1"/>
          </xdr:nvSpPr>
          <xdr:spPr>
            <a:xfrm>
              <a:off x="6243637" y="7672387"/>
              <a:ext cx="4857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3B6D3AC-027F-4DA8-BD83-8095B35BD801}"/>
                </a:ext>
              </a:extLst>
            </xdr:cNvPr>
            <xdr:cNvSpPr txBox="1"/>
          </xdr:nvSpPr>
          <xdr:spPr>
            <a:xfrm>
              <a:off x="6243637" y="7672387"/>
              <a:ext cx="485710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𝐿,[𝑚]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V15"/>
  <sheetViews>
    <sheetView tabSelected="1" topLeftCell="A8" workbookViewId="0">
      <selection activeCell="F13" sqref="F13:AJ13"/>
    </sheetView>
  </sheetViews>
  <sheetFormatPr defaultRowHeight="15" x14ac:dyDescent="0.25"/>
  <cols>
    <col min="3" max="3" width="9.5703125" bestFit="1" customWidth="1"/>
    <col min="6" max="36" width="6.5703125" bestFit="1" customWidth="1"/>
  </cols>
  <sheetData>
    <row r="3" spans="2:48" x14ac:dyDescent="0.25">
      <c r="B3" s="5" t="s">
        <v>0</v>
      </c>
      <c r="C3" s="6">
        <v>0.1</v>
      </c>
    </row>
    <row r="4" spans="2:48" x14ac:dyDescent="0.25">
      <c r="B4" s="5" t="s">
        <v>1</v>
      </c>
      <c r="C4" s="7">
        <f>C3/30</f>
        <v>3.3333333333333335E-3</v>
      </c>
    </row>
    <row r="5" spans="2:48" x14ac:dyDescent="0.25">
      <c r="B5" s="5" t="s">
        <v>2</v>
      </c>
      <c r="C5" s="7">
        <f>(C9*C8*C4^2)/(2*C10)</f>
        <v>0.4333333333333334</v>
      </c>
    </row>
    <row r="6" spans="2:48" x14ac:dyDescent="0.25">
      <c r="B6" s="5" t="s">
        <v>3</v>
      </c>
      <c r="C6" s="5"/>
    </row>
    <row r="7" spans="2:48" x14ac:dyDescent="0.25">
      <c r="B7" s="8"/>
      <c r="C7" s="8"/>
    </row>
    <row r="8" spans="2:48" x14ac:dyDescent="0.25">
      <c r="B8" s="5" t="s">
        <v>4</v>
      </c>
      <c r="C8" s="5">
        <v>460</v>
      </c>
    </row>
    <row r="9" spans="2:48" x14ac:dyDescent="0.25">
      <c r="B9" s="5" t="s">
        <v>5</v>
      </c>
      <c r="C9" s="5">
        <v>7800</v>
      </c>
    </row>
    <row r="10" spans="2:48" x14ac:dyDescent="0.25">
      <c r="B10" s="5" t="s">
        <v>6</v>
      </c>
      <c r="C10" s="5">
        <v>46</v>
      </c>
    </row>
    <row r="11" spans="2:48" x14ac:dyDescent="0.25">
      <c r="B11" s="8"/>
      <c r="C11" s="8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2:48" x14ac:dyDescent="0.25">
      <c r="B12" s="5" t="s">
        <v>8</v>
      </c>
      <c r="C12" s="5">
        <v>300</v>
      </c>
      <c r="E12" t="s">
        <v>0</v>
      </c>
      <c r="F12" s="3">
        <v>0</v>
      </c>
      <c r="G12" s="4">
        <f>F12+$C$4</f>
        <v>3.3333333333333335E-3</v>
      </c>
      <c r="H12" s="4">
        <f>G12+$C$4</f>
        <v>6.6666666666666671E-3</v>
      </c>
      <c r="I12" s="4">
        <f t="shared" ref="I12:AC12" si="0">H12+$C$4</f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ref="AD12:AJ12" si="1">AC12+$C$4</f>
        <v>7.9999999999999974E-2</v>
      </c>
      <c r="AE12" s="4">
        <f t="shared" si="1"/>
        <v>8.3333333333333301E-2</v>
      </c>
      <c r="AF12" s="4">
        <f t="shared" si="1"/>
        <v>8.6666666666666628E-2</v>
      </c>
      <c r="AG12" s="4">
        <f t="shared" si="1"/>
        <v>8.9999999999999955E-2</v>
      </c>
      <c r="AH12" s="4">
        <f t="shared" si="1"/>
        <v>9.3333333333333282E-2</v>
      </c>
      <c r="AI12" s="4">
        <f t="shared" si="1"/>
        <v>9.6666666666666609E-2</v>
      </c>
      <c r="AJ12" s="4">
        <f t="shared" si="1"/>
        <v>9.9999999999999936E-2</v>
      </c>
    </row>
    <row r="13" spans="2:48" x14ac:dyDescent="0.25">
      <c r="B13" s="5" t="s">
        <v>9</v>
      </c>
      <c r="C13" s="5">
        <v>100</v>
      </c>
      <c r="E13" t="s">
        <v>7</v>
      </c>
      <c r="F13" s="1">
        <f>C12</f>
        <v>300</v>
      </c>
      <c r="G13" s="1">
        <v>150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50</v>
      </c>
      <c r="AJ13" s="1">
        <f>C13</f>
        <v>100</v>
      </c>
    </row>
    <row r="15" spans="2:48" x14ac:dyDescent="0.25">
      <c r="E15" t="s">
        <v>10</v>
      </c>
      <c r="G15">
        <f>G13+(($C$10*$C$5)/($C$9*$C$8))*((H13+2*G13+F13)/($C$4^2))</f>
        <v>450</v>
      </c>
      <c r="H15">
        <f t="shared" ref="H15:AI15" si="2">H13+(($C$10*$C$5)/($C$9*$C$8))*((I13+2*H13+G13)/($C$4^2))</f>
        <v>75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>
        <f t="shared" si="2"/>
        <v>0</v>
      </c>
      <c r="N15">
        <f t="shared" si="2"/>
        <v>0</v>
      </c>
      <c r="O15">
        <f t="shared" si="2"/>
        <v>0</v>
      </c>
      <c r="P15">
        <f t="shared" si="2"/>
        <v>0</v>
      </c>
      <c r="Q15">
        <f t="shared" si="2"/>
        <v>0</v>
      </c>
      <c r="R15">
        <f t="shared" si="2"/>
        <v>0</v>
      </c>
      <c r="S15">
        <f t="shared" si="2"/>
        <v>0</v>
      </c>
      <c r="T15">
        <f t="shared" si="2"/>
        <v>0</v>
      </c>
      <c r="U15">
        <f t="shared" si="2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2"/>
        <v>0</v>
      </c>
      <c r="AB15">
        <f t="shared" si="2"/>
        <v>0</v>
      </c>
      <c r="AC15">
        <f t="shared" si="2"/>
        <v>0</v>
      </c>
      <c r="AD15">
        <f t="shared" si="2"/>
        <v>0</v>
      </c>
      <c r="AE15">
        <f t="shared" si="2"/>
        <v>0</v>
      </c>
      <c r="AF15">
        <f t="shared" si="2"/>
        <v>0</v>
      </c>
      <c r="AG15">
        <f t="shared" si="2"/>
        <v>0</v>
      </c>
      <c r="AH15">
        <f t="shared" si="2"/>
        <v>25</v>
      </c>
      <c r="AI15">
        <f t="shared" si="2"/>
        <v>150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Ярослав Павленко</dc:creator>
  <cp:lastModifiedBy>Ярослав Павленко</cp:lastModifiedBy>
  <dcterms:created xsi:type="dcterms:W3CDTF">2015-06-05T18:19:34Z</dcterms:created>
  <dcterms:modified xsi:type="dcterms:W3CDTF">2021-09-08T13:59:29Z</dcterms:modified>
</cp:coreProperties>
</file>