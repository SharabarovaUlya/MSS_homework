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arik\Desktop\homework1\"/>
    </mc:Choice>
  </mc:AlternateContent>
  <xr:revisionPtr revIDLastSave="0" documentId="13_ncr:1_{724E0EC6-4D10-414D-B3B7-43A49DE183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1" l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5" i="1" l="1"/>
  <c r="AI15" i="1" l="1"/>
  <c r="AA15" i="1"/>
  <c r="S15" i="1"/>
  <c r="K15" i="1"/>
  <c r="O15" i="1"/>
  <c r="N15" i="1"/>
  <c r="U15" i="1"/>
  <c r="AH15" i="1"/>
  <c r="Z15" i="1"/>
  <c r="R15" i="1"/>
  <c r="J15" i="1"/>
  <c r="W15" i="1"/>
  <c r="AD15" i="1"/>
  <c r="AC15" i="1"/>
  <c r="AB15" i="1"/>
  <c r="AG15" i="1"/>
  <c r="Y15" i="1"/>
  <c r="Q15" i="1"/>
  <c r="I15" i="1"/>
  <c r="V15" i="1"/>
  <c r="T15" i="1"/>
  <c r="AF15" i="1"/>
  <c r="X15" i="1"/>
  <c r="P15" i="1"/>
  <c r="H15" i="1"/>
  <c r="G15" i="1"/>
  <c r="AE15" i="1"/>
  <c r="M15" i="1"/>
  <c r="L15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<sst xmlns="http://schemas.openxmlformats.org/spreadsheetml/2006/main" count="12" uniqueCount="11">
  <si>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</si>
  <si>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</si>
  <si>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</si>
  <si>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</si>
  <si>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</si>
  <si>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</si>
  <si>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</si>
  <si>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T_start</t>
  </si>
  <si>
    <t>T-end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</si>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</sst>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right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293.32965216748056</c:v>
                </c:pt>
                <c:pt idx="2">
                  <c:v>286.65930433496112</c:v>
                </c:pt>
                <c:pt idx="3">
                  <c:v>279.98911738705368</c:v>
                </c:pt>
                <c:pt idx="4">
                  <c:v>273.31893043914624</c:v>
                </c:pt>
                <c:pt idx="5">
                  <c:v>266.64905822903313</c:v>
                </c:pt>
                <c:pt idx="6">
                  <c:v>259.97918601892002</c:v>
                </c:pt>
                <c:pt idx="7">
                  <c:v>253.30976864423178</c:v>
                </c:pt>
                <c:pt idx="8">
                  <c:v>246.64035126954354</c:v>
                </c:pt>
                <c:pt idx="9">
                  <c:v>239.9715089494201</c:v>
                </c:pt>
                <c:pt idx="10">
                  <c:v>233.30266662929665</c:v>
                </c:pt>
                <c:pt idx="11">
                  <c:v>226.634494450234</c:v>
                </c:pt>
                <c:pt idx="12">
                  <c:v>219.96632227117135</c:v>
                </c:pt>
                <c:pt idx="13">
                  <c:v>213.29888603128546</c:v>
                </c:pt>
                <c:pt idx="14">
                  <c:v>206.63144979139955</c:v>
                </c:pt>
                <c:pt idx="15">
                  <c:v>199.96478312473289</c:v>
                </c:pt>
                <c:pt idx="16">
                  <c:v>193.2981164580662</c:v>
                </c:pt>
                <c:pt idx="17">
                  <c:v>186.63221936461878</c:v>
                </c:pt>
                <c:pt idx="18">
                  <c:v>179.96632227117138</c:v>
                </c:pt>
                <c:pt idx="19">
                  <c:v>173.30116111690069</c:v>
                </c:pt>
                <c:pt idx="20">
                  <c:v>166.63599996263002</c:v>
                </c:pt>
                <c:pt idx="21">
                  <c:v>159.97150894942013</c:v>
                </c:pt>
                <c:pt idx="22">
                  <c:v>153.30701793621023</c:v>
                </c:pt>
                <c:pt idx="23">
                  <c:v>146.64310197756512</c:v>
                </c:pt>
                <c:pt idx="24">
                  <c:v>139.97918601892002</c:v>
                </c:pt>
                <c:pt idx="25">
                  <c:v>133.31572489569979</c:v>
                </c:pt>
                <c:pt idx="26">
                  <c:v>126.65226377247956</c:v>
                </c:pt>
                <c:pt idx="27">
                  <c:v>119.9891173870537</c:v>
                </c:pt>
                <c:pt idx="28">
                  <c:v>113.32597100162783</c:v>
                </c:pt>
                <c:pt idx="29">
                  <c:v>106.66298550081392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A4-4826-B758-EB9939497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358880"/>
        <c:axId val="1488361792"/>
      </c:scatterChart>
      <c:valAx>
        <c:axId val="148835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8361792"/>
        <c:crosses val="autoZero"/>
        <c:crossBetween val="midCat"/>
      </c:valAx>
      <c:valAx>
        <c:axId val="148836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88358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258535</xdr:colOff>
      <xdr:row>20</xdr:row>
      <xdr:rowOff>50345</xdr:rowOff>
    </xdr:from>
    <xdr:to>
      <xdr:col>30</xdr:col>
      <xdr:colOff>149678</xdr:colOff>
      <xdr:row>43</xdr:row>
      <xdr:rowOff>54428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95D4408B-B772-4807-AFB1-A7FC82061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31976</xdr:colOff>
      <xdr:row>41</xdr:row>
      <xdr:rowOff>134029</xdr:rowOff>
    </xdr:from>
    <xdr:ext cx="485710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E314DA-2D24-445B-B5B7-CFE2DAF8B79B}"/>
                </a:ext>
              </a:extLst>
            </xdr:cNvPr>
            <xdr:cNvSpPr txBox="1"/>
          </xdr:nvSpPr>
          <xdr:spPr>
            <a:xfrm>
              <a:off x="14550797" y="7944529"/>
              <a:ext cx="4857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AE314DA-2D24-445B-B5B7-CFE2DAF8B79B}"/>
                </a:ext>
              </a:extLst>
            </xdr:cNvPr>
            <xdr:cNvSpPr txBox="1"/>
          </xdr:nvSpPr>
          <xdr:spPr>
            <a:xfrm>
              <a:off x="14550797" y="7944529"/>
              <a:ext cx="4857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𝐿,[𝑚]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20</xdr:col>
      <xdr:colOff>315004</xdr:colOff>
      <xdr:row>20</xdr:row>
      <xdr:rowOff>127227</xdr:rowOff>
    </xdr:from>
    <xdr:ext cx="346762" cy="21916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CD00A84-3F2F-4BAA-98AB-7EA5263B09ED}"/>
            </a:ext>
          </a:extLst>
        </xdr:cNvPr>
        <xdr:cNvSpPr txBox="1"/>
      </xdr:nvSpPr>
      <xdr:spPr>
        <a:xfrm>
          <a:off x="10547575" y="3937227"/>
          <a:ext cx="346762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400" b="1"/>
            <a:t>T,[C]</a:t>
          </a:r>
          <a:endParaRPr lang="ru-RU" sz="1400" b="1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arik/Downloads/List_Microsoft_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265.63124084189411</v>
          </cell>
          <cell r="H13">
            <v>231.26248168378822</v>
          </cell>
          <cell r="I13">
            <v>199.64585085967883</v>
          </cell>
          <cell r="J13">
            <v>168.02922003556944</v>
          </cell>
          <cell r="K13">
            <v>141.28591849529357</v>
          </cell>
          <cell r="L13">
            <v>114.54261695501771</v>
          </cell>
          <cell r="M13">
            <v>93.769767841271801</v>
          </cell>
          <cell r="N13">
            <v>72.996918727525895</v>
          </cell>
          <cell r="O13">
            <v>58.232606440597579</v>
          </cell>
          <cell r="P13">
            <v>43.468294153669262</v>
          </cell>
          <cell r="Q13">
            <v>33.97238745372988</v>
          </cell>
          <cell r="R13">
            <v>24.476480753790497</v>
          </cell>
          <cell r="S13">
            <v>19.167340731517157</v>
          </cell>
          <cell r="T13">
            <v>13.858200709243818</v>
          </cell>
          <cell r="U13">
            <v>11.721978688072454</v>
          </cell>
          <cell r="V13">
            <v>9.5857566669010907</v>
          </cell>
          <cell r="W13">
            <v>9.9313219915408979</v>
          </cell>
          <cell r="X13">
            <v>10.276887316180705</v>
          </cell>
          <cell r="Y13">
            <v>12.79484951237464</v>
          </cell>
          <cell r="Z13">
            <v>15.312811708568574</v>
          </cell>
          <cell r="AA13">
            <v>19.967697032242882</v>
          </cell>
          <cell r="AB13">
            <v>24.622582355917189</v>
          </cell>
          <cell r="AC13">
            <v>31.447857545200009</v>
          </cell>
          <cell r="AD13">
            <v>38.273132734482829</v>
          </cell>
          <cell r="AE13">
            <v>47.154544588511271</v>
          </cell>
          <cell r="AF13">
            <v>56.035956442539714</v>
          </cell>
          <cell r="AG13">
            <v>66.56490291774162</v>
          </cell>
          <cell r="AH13">
            <v>77.093849392943525</v>
          </cell>
          <cell r="AI13">
            <v>88.546924696471763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V15"/>
  <sheetViews>
    <sheetView tabSelected="1" zoomScale="70" zoomScaleNormal="70" workbookViewId="0">
      <selection activeCell="AI34" sqref="AI34"/>
    </sheetView>
  </sheetViews>
  <sheetFormatPr defaultRowHeight="15" x14ac:dyDescent="0.25"/>
  <cols>
    <col min="3" max="3" width="9.5703125" bestFit="1" customWidth="1"/>
    <col min="6" max="36" width="7.140625" bestFit="1" customWidth="1"/>
  </cols>
  <sheetData>
    <row r="3" spans="2:48" x14ac:dyDescent="0.25">
      <c r="B3" s="1" t="s">
        <v>0</v>
      </c>
      <c r="C3" s="2">
        <v>0.1</v>
      </c>
    </row>
    <row r="4" spans="2:48" x14ac:dyDescent="0.25">
      <c r="B4" s="1" t="s">
        <v>1</v>
      </c>
      <c r="C4" s="3">
        <f>C3/30</f>
        <v>3.3333333333333335E-3</v>
      </c>
    </row>
    <row r="5" spans="2:48" x14ac:dyDescent="0.25">
      <c r="B5" s="1" t="s">
        <v>2</v>
      </c>
      <c r="C5" s="3">
        <f>(C9*C8*C4^2)/(2*C10)</f>
        <v>0.4333333333333334</v>
      </c>
    </row>
    <row r="6" spans="2:48" x14ac:dyDescent="0.25">
      <c r="B6" s="1" t="s">
        <v>3</v>
      </c>
      <c r="C6" s="1">
        <v>500</v>
      </c>
      <c r="D6">
        <v>500.06666666666672</v>
      </c>
    </row>
    <row r="8" spans="2:48" x14ac:dyDescent="0.25">
      <c r="B8" s="1" t="s">
        <v>4</v>
      </c>
      <c r="C8" s="1">
        <v>460</v>
      </c>
    </row>
    <row r="9" spans="2:48" x14ac:dyDescent="0.25">
      <c r="B9" s="1" t="s">
        <v>5</v>
      </c>
      <c r="C9" s="1">
        <v>7800</v>
      </c>
    </row>
    <row r="10" spans="2:48" x14ac:dyDescent="0.25">
      <c r="B10" s="1" t="s">
        <v>6</v>
      </c>
      <c r="C10" s="1">
        <v>46</v>
      </c>
    </row>
    <row r="11" spans="2:48" x14ac:dyDescent="0.25">
      <c r="F11" s="4">
        <v>1</v>
      </c>
      <c r="G11" s="4">
        <v>2</v>
      </c>
      <c r="H11" s="4">
        <v>3</v>
      </c>
      <c r="I11" s="4">
        <v>4</v>
      </c>
      <c r="J11" s="4">
        <v>5</v>
      </c>
      <c r="K11" s="4">
        <v>6</v>
      </c>
      <c r="L11" s="4">
        <v>7</v>
      </c>
      <c r="M11" s="4">
        <v>8</v>
      </c>
      <c r="N11" s="4">
        <v>9</v>
      </c>
      <c r="O11" s="4">
        <v>10</v>
      </c>
      <c r="P11" s="4">
        <v>11</v>
      </c>
      <c r="Q11" s="4">
        <v>12</v>
      </c>
      <c r="R11" s="4">
        <v>13</v>
      </c>
      <c r="S11" s="4">
        <v>14</v>
      </c>
      <c r="T11" s="4">
        <v>15</v>
      </c>
      <c r="U11" s="4">
        <v>16</v>
      </c>
      <c r="V11" s="4">
        <v>17</v>
      </c>
      <c r="W11" s="4">
        <v>18</v>
      </c>
      <c r="X11" s="4">
        <v>19</v>
      </c>
      <c r="Y11" s="4">
        <v>20</v>
      </c>
      <c r="Z11" s="4">
        <v>21</v>
      </c>
      <c r="AA11" s="4">
        <v>22</v>
      </c>
      <c r="AB11" s="4">
        <v>23</v>
      </c>
      <c r="AC11" s="4">
        <v>24</v>
      </c>
      <c r="AD11" s="4">
        <v>25</v>
      </c>
      <c r="AE11" s="4">
        <v>26</v>
      </c>
      <c r="AF11" s="4">
        <v>27</v>
      </c>
      <c r="AG11" s="4">
        <v>28</v>
      </c>
      <c r="AH11" s="4">
        <v>29</v>
      </c>
      <c r="AI11" s="4">
        <v>30</v>
      </c>
      <c r="AJ11" s="4">
        <v>31</v>
      </c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</row>
    <row r="12" spans="2:48" x14ac:dyDescent="0.25">
      <c r="B12" s="1" t="s">
        <v>7</v>
      </c>
      <c r="C12" s="1">
        <v>300</v>
      </c>
      <c r="E12" t="s">
        <v>0</v>
      </c>
      <c r="F12" s="6">
        <v>0</v>
      </c>
      <c r="G12" s="7">
        <f>F12+$C$4</f>
        <v>3.3333333333333335E-3</v>
      </c>
      <c r="H12" s="7">
        <f>G12+$C$4</f>
        <v>6.6666666666666671E-3</v>
      </c>
      <c r="I12" s="7">
        <f t="shared" ref="I12:AJ12" si="0">H12+$C$4</f>
        <v>0.01</v>
      </c>
      <c r="J12" s="7">
        <f t="shared" si="0"/>
        <v>1.3333333333333334E-2</v>
      </c>
      <c r="K12" s="7">
        <f t="shared" si="0"/>
        <v>1.6666666666666666E-2</v>
      </c>
      <c r="L12" s="7">
        <f t="shared" si="0"/>
        <v>0.02</v>
      </c>
      <c r="M12" s="7">
        <f t="shared" si="0"/>
        <v>2.3333333333333334E-2</v>
      </c>
      <c r="N12" s="7">
        <f t="shared" si="0"/>
        <v>2.6666666666666668E-2</v>
      </c>
      <c r="O12" s="7">
        <f t="shared" si="0"/>
        <v>3.0000000000000002E-2</v>
      </c>
      <c r="P12" s="7">
        <f t="shared" si="0"/>
        <v>3.3333333333333333E-2</v>
      </c>
      <c r="Q12" s="7">
        <f t="shared" si="0"/>
        <v>3.6666666666666667E-2</v>
      </c>
      <c r="R12" s="7">
        <f t="shared" si="0"/>
        <v>0.04</v>
      </c>
      <c r="S12" s="7">
        <f t="shared" si="0"/>
        <v>4.3333333333333335E-2</v>
      </c>
      <c r="T12" s="7">
        <f t="shared" si="0"/>
        <v>4.6666666666666669E-2</v>
      </c>
      <c r="U12" s="7">
        <f t="shared" si="0"/>
        <v>0.05</v>
      </c>
      <c r="V12" s="7">
        <f t="shared" si="0"/>
        <v>5.3333333333333337E-2</v>
      </c>
      <c r="W12" s="7">
        <f t="shared" si="0"/>
        <v>5.6666666666666671E-2</v>
      </c>
      <c r="X12" s="7">
        <f t="shared" si="0"/>
        <v>6.0000000000000005E-2</v>
      </c>
      <c r="Y12" s="7">
        <f t="shared" si="0"/>
        <v>6.3333333333333339E-2</v>
      </c>
      <c r="Z12" s="7">
        <f t="shared" si="0"/>
        <v>6.6666666666666666E-2</v>
      </c>
      <c r="AA12" s="7">
        <f t="shared" si="0"/>
        <v>6.9999999999999993E-2</v>
      </c>
      <c r="AB12" s="7">
        <f t="shared" si="0"/>
        <v>7.333333333333332E-2</v>
      </c>
      <c r="AC12" s="7">
        <f t="shared" si="0"/>
        <v>7.6666666666666647E-2</v>
      </c>
      <c r="AD12" s="7">
        <f t="shared" si="0"/>
        <v>7.9999999999999974E-2</v>
      </c>
      <c r="AE12" s="7">
        <f t="shared" si="0"/>
        <v>8.3333333333333301E-2</v>
      </c>
      <c r="AF12" s="7">
        <f t="shared" si="0"/>
        <v>8.6666666666666628E-2</v>
      </c>
      <c r="AG12" s="7">
        <f t="shared" si="0"/>
        <v>8.9999999999999955E-2</v>
      </c>
      <c r="AH12" s="7">
        <f t="shared" si="0"/>
        <v>9.3333333333333282E-2</v>
      </c>
      <c r="AI12" s="7">
        <f t="shared" si="0"/>
        <v>9.6666666666666609E-2</v>
      </c>
      <c r="AJ12" s="7">
        <f t="shared" si="0"/>
        <v>9.9999999999999936E-2</v>
      </c>
    </row>
    <row r="13" spans="2:48" x14ac:dyDescent="0.25">
      <c r="B13" s="1" t="s">
        <v>8</v>
      </c>
      <c r="C13" s="1">
        <v>100</v>
      </c>
      <c r="E13" t="s">
        <v>9</v>
      </c>
      <c r="F13" s="5">
        <f>C12</f>
        <v>300</v>
      </c>
      <c r="G13" s="5">
        <v>293.32965216748056</v>
      </c>
      <c r="H13" s="5">
        <v>286.65930433496112</v>
      </c>
      <c r="I13" s="5">
        <v>279.98911738705368</v>
      </c>
      <c r="J13" s="5">
        <v>273.31893043914624</v>
      </c>
      <c r="K13" s="5">
        <v>266.64905822903313</v>
      </c>
      <c r="L13" s="5">
        <v>259.97918601892002</v>
      </c>
      <c r="M13" s="5">
        <v>253.30976864423178</v>
      </c>
      <c r="N13" s="5">
        <v>246.64035126954354</v>
      </c>
      <c r="O13" s="5">
        <v>239.9715089494201</v>
      </c>
      <c r="P13" s="5">
        <v>233.30266662929665</v>
      </c>
      <c r="Q13" s="5">
        <v>226.634494450234</v>
      </c>
      <c r="R13" s="5">
        <v>219.96632227117135</v>
      </c>
      <c r="S13" s="5">
        <v>213.29888603128546</v>
      </c>
      <c r="T13" s="5">
        <v>206.63144979139955</v>
      </c>
      <c r="U13" s="5">
        <v>199.96478312473289</v>
      </c>
      <c r="V13" s="5">
        <v>193.2981164580662</v>
      </c>
      <c r="W13" s="5">
        <v>186.63221936461878</v>
      </c>
      <c r="X13" s="5">
        <v>179.96632227117138</v>
      </c>
      <c r="Y13" s="5">
        <v>173.30116111690069</v>
      </c>
      <c r="Z13" s="5">
        <v>166.63599996263002</v>
      </c>
      <c r="AA13" s="5">
        <v>159.97150894942013</v>
      </c>
      <c r="AB13" s="5">
        <v>153.30701793621023</v>
      </c>
      <c r="AC13" s="5">
        <v>146.64310197756512</v>
      </c>
      <c r="AD13" s="5">
        <v>139.97918601892002</v>
      </c>
      <c r="AE13" s="5">
        <v>133.31572489569979</v>
      </c>
      <c r="AF13" s="5">
        <v>126.65226377247956</v>
      </c>
      <c r="AG13" s="5">
        <v>119.9891173870537</v>
      </c>
      <c r="AH13" s="5">
        <v>113.32597100162783</v>
      </c>
      <c r="AI13" s="5">
        <v>106.66298550081392</v>
      </c>
      <c r="AJ13" s="5">
        <f>C13</f>
        <v>100</v>
      </c>
    </row>
    <row r="15" spans="2:48" x14ac:dyDescent="0.25">
      <c r="E15" t="s">
        <v>10</v>
      </c>
      <c r="G15">
        <f>G13+(($C$10*$C$5)/($C$9*$C$8))*((H13-2*G13+F13)/($C$4^2))</f>
        <v>293.32965216748056</v>
      </c>
      <c r="H15">
        <f t="shared" ref="H15:AI15" si="1">H13+(($C$10*$C$5)/($C$9*$C$8))*((I13-2*H13+G13)/($C$4^2))</f>
        <v>286.65938477726712</v>
      </c>
      <c r="I15">
        <f t="shared" si="1"/>
        <v>279.98911738705368</v>
      </c>
      <c r="J15">
        <f t="shared" si="1"/>
        <v>273.31908780804338</v>
      </c>
      <c r="K15">
        <f t="shared" si="1"/>
        <v>266.64905822903313</v>
      </c>
      <c r="L15">
        <f t="shared" si="1"/>
        <v>259.97941343663246</v>
      </c>
      <c r="M15">
        <f t="shared" si="1"/>
        <v>253.30976864423178</v>
      </c>
      <c r="N15">
        <f t="shared" si="1"/>
        <v>246.64063879682595</v>
      </c>
      <c r="O15">
        <f t="shared" si="1"/>
        <v>239.9715089494201</v>
      </c>
      <c r="P15">
        <f t="shared" si="1"/>
        <v>233.30300169982706</v>
      </c>
      <c r="Q15">
        <f t="shared" si="1"/>
        <v>226.634494450234</v>
      </c>
      <c r="R15">
        <f t="shared" si="1"/>
        <v>219.96669024075973</v>
      </c>
      <c r="S15">
        <f t="shared" si="1"/>
        <v>213.29888603128546</v>
      </c>
      <c r="T15">
        <f t="shared" si="1"/>
        <v>206.63183457800918</v>
      </c>
      <c r="U15">
        <f t="shared" si="1"/>
        <v>199.96478312473289</v>
      </c>
      <c r="V15">
        <f t="shared" si="1"/>
        <v>193.29850124467583</v>
      </c>
      <c r="W15">
        <f t="shared" si="1"/>
        <v>186.63221936461878</v>
      </c>
      <c r="X15">
        <f t="shared" si="1"/>
        <v>179.96669024075973</v>
      </c>
      <c r="Y15">
        <f t="shared" si="1"/>
        <v>173.30116111690069</v>
      </c>
      <c r="Z15">
        <f t="shared" si="1"/>
        <v>166.63633503316041</v>
      </c>
      <c r="AA15">
        <f t="shared" si="1"/>
        <v>159.97150894942013</v>
      </c>
      <c r="AB15">
        <f t="shared" si="1"/>
        <v>153.30730546349264</v>
      </c>
      <c r="AC15">
        <f t="shared" si="1"/>
        <v>146.64310197756512</v>
      </c>
      <c r="AD15">
        <f t="shared" si="1"/>
        <v>139.97941343663246</v>
      </c>
      <c r="AE15">
        <f t="shared" si="1"/>
        <v>133.31572489569979</v>
      </c>
      <c r="AF15">
        <f t="shared" si="1"/>
        <v>126.65242114137673</v>
      </c>
      <c r="AG15">
        <f t="shared" si="1"/>
        <v>119.9891173870537</v>
      </c>
      <c r="AH15">
        <f t="shared" si="1"/>
        <v>113.32605144393381</v>
      </c>
      <c r="AI15">
        <f t="shared" si="1"/>
        <v>106.66298550081392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Павленко</dc:creator>
  <cp:lastModifiedBy>Ярослав Павленко</cp:lastModifiedBy>
  <dcterms:created xsi:type="dcterms:W3CDTF">2015-06-05T18:19:34Z</dcterms:created>
  <dcterms:modified xsi:type="dcterms:W3CDTF">2021-09-08T17:30:34Z</dcterms:modified>
</cp:coreProperties>
</file>